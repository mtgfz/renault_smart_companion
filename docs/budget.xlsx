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ypothèses" sheetId="1" state="visible" r:id="rId3"/>
    <sheet name="Budget MVP (2 mois)" sheetId="2" state="visible" r:id="rId4"/>
    <sheet name="Budget Cible (12 mois)" sheetId="3" state="visible" r:id="rId5"/>
    <sheet name="Synthèse"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<sst xmlns="http://schemas.openxmlformats.org/spreadsheetml/2006/main" count="214" uniqueCount="155">
  <si>
    <t xml:space="preserve">Renault Smart Companion — Concessionnaire — Budget technique</t>
  </si>
  <si>
    <t xml:space="preserve">Taux de change (référence)</t>
  </si>
  <si>
    <t xml:space="preserve">1 EUR =</t>
  </si>
  <si>
    <t xml:space="preserve">MAD — à ajuster selon le taux du jour</t>
  </si>
  <si>
    <t xml:space="preserve">1 USD =</t>
  </si>
  <si>
    <t xml:space="preserve">Hypothèses du dossier d'investissement</t>
  </si>
  <si>
    <t xml:space="preserve">Durée du stage (MVP)</t>
  </si>
  <si>
    <t xml:space="preserve">2 mois</t>
  </si>
  <si>
    <t xml:space="preserve">App web + dashboard + scoring ML de base</t>
  </si>
  <si>
    <t xml:space="preserve">Durée du financement demandé</t>
  </si>
  <si>
    <t xml:space="preserve">12 mois</t>
  </si>
  <si>
    <t xml:space="preserve">1 an d'exploitation post-stage, cible production</t>
  </si>
  <si>
    <t xml:space="preserve">Échelle</t>
  </si>
  <si>
    <t xml:space="preserve">1 concessionnaire</t>
  </si>
  <si>
    <t xml:space="preserve">Budget non mutualisé réseau — à diviser si déploiement multi-sites</t>
  </si>
  <si>
    <t xml:space="preserve">Hébergement</t>
  </si>
  <si>
    <t xml:space="preserve">Cloud (OVH/AWS, région EU/Maroc)</t>
  </si>
  <si>
    <t xml:space="preserve">Alternative on-premise possible, coût serveur physique en note</t>
  </si>
  <si>
    <t xml:space="preserve">Comment lire ce classeur</t>
  </si>
  <si>
    <t xml:space="preserve">• Onglet 'Budget MVP (2 mois)' : ce qui est réellement nécessaire pendant le stage — coût très faible, surtout du temps.</t>
  </si>
  <si>
    <t xml:space="preserve">• Onglet 'Budget Cible (12 mois)' : le dossier à présenter au concessionnaire pour financer la mise en production complète.</t>
  </si>
  <si>
    <t xml:space="preserve">• Onglet 'Synthèse' : totaux et graphique pour la présentation orale.</t>
  </si>
  <si>
    <t xml:space="preserve">• Les cellules en bleu sont modifiables (hypothèses) ; les totaux se recalculent automatiquement.</t>
  </si>
  <si>
    <t xml:space="preserve">Budget MVP (2 mois)</t>
  </si>
  <si>
    <t xml:space="preserve">Catégorie</t>
  </si>
  <si>
    <t xml:space="preserve">Poste</t>
  </si>
  <si>
    <t xml:space="preserve">Détail / Techno</t>
  </si>
  <si>
    <t xml:space="preserve">Type de coût</t>
  </si>
  <si>
    <t xml:space="preserve">Coût unitaire (MAD)</t>
  </si>
  <si>
    <t xml:space="preserve">Quantité / Durée</t>
  </si>
  <si>
    <t xml:space="preserve">Coût total (MAD)</t>
  </si>
  <si>
    <t xml:space="preserve">Source / Justification</t>
  </si>
  <si>
    <t xml:space="preserve">Infrastructure &amp; hébergement (MVP)</t>
  </si>
  <si>
    <t xml:space="preserve">Backend/Infra</t>
  </si>
  <si>
    <t xml:space="preserve">Serveur cloud dev (VPS)</t>
  </si>
  <si>
    <t xml:space="preserve">1 VPS 4 vCPU/8Go (OVH/AWS Lightsail) — dev + démo</t>
  </si>
  <si>
    <t xml:space="preserve">Récurrent mensuel</t>
  </si>
  <si>
    <t xml:space="preserve">Prix indicatif OVH VPS Comfort, 07/2026</t>
  </si>
  <si>
    <t xml:space="preserve">Base de données PostgreSQL</t>
  </si>
  <si>
    <t xml:space="preserve">Managée ou incluse dans le VPS</t>
  </si>
  <si>
    <t xml:space="preserve">Incluse dans le VPS pour le MVP</t>
  </si>
  <si>
    <t xml:space="preserve">Nom de domaine + certificat SSL</t>
  </si>
  <si>
    <t xml:space="preserve">concessionnaire-renault-xxx.ma + Let's Encrypt (gratuit)</t>
  </si>
  <si>
    <t xml:space="preserve">Annuel</t>
  </si>
  <si>
    <t xml:space="preserve">Prix registrar .ma indicatif</t>
  </si>
  <si>
    <t xml:space="preserve">Outils &amp; licences (MVP)</t>
  </si>
  <si>
    <t xml:space="preserve">Dev</t>
  </si>
  <si>
    <t xml:space="preserve">IDE / outils dev</t>
  </si>
  <si>
    <t xml:space="preserve">VS Code, GitHub gratuit (repo privé étudiant)</t>
  </si>
  <si>
    <t xml:space="preserve">Ponctuel</t>
  </si>
  <si>
    <t xml:space="preserve">Gratuit avec compte étudiant GitHub</t>
  </si>
  <si>
    <t xml:space="preserve">Agentic AI</t>
  </si>
  <si>
    <t xml:space="preserve">API LLM (agent conversationnel)</t>
  </si>
  <si>
    <t xml:space="preserve">Claude/GPT API — usage limité démo (~500k tokens)</t>
  </si>
  <si>
    <t xml:space="preserve">Ponctuel (période stage)</t>
  </si>
  <si>
    <t xml:space="preserve">Estimation tarif API, à confirmer selon fournisseur</t>
  </si>
  <si>
    <t xml:space="preserve">Sécurité (MVP)</t>
  </si>
  <si>
    <t xml:space="preserve">Sécurité</t>
  </si>
  <si>
    <t xml:space="preserve">Certificat SSL</t>
  </si>
  <si>
    <t xml:space="preserve">Let's Encrypt</t>
  </si>
  <si>
    <t xml:space="preserve">Gratuit</t>
  </si>
  <si>
    <t xml:space="preserve">Sauvegardes de base</t>
  </si>
  <si>
    <t xml:space="preserve">Snapshot hebdomadaire VPS</t>
  </si>
  <si>
    <t xml:space="preserve">Inclus chez la plupart des hébergeurs VPS</t>
  </si>
  <si>
    <t xml:space="preserve">Ressources humaines</t>
  </si>
  <si>
    <t xml:space="preserve">RH</t>
  </si>
  <si>
    <t xml:space="preserve">Stagiaire PFA</t>
  </si>
  <si>
    <t xml:space="preserve">Développement, data, ML — temps plein 2 mois</t>
  </si>
  <si>
    <t xml:space="preserve">Forfait stage</t>
  </si>
  <si>
    <t xml:space="preserve">Selon politique de gratification stage de l'entreprise</t>
  </si>
  <si>
    <t xml:space="preserve">TOTAL (MAD)</t>
  </si>
  <si>
    <t xml:space="preserve">Budget Cible (12 mois)</t>
  </si>
  <si>
    <t xml:space="preserve">Frontend</t>
  </si>
  <si>
    <t xml:space="preserve">Développement app web (Next.js)</t>
  </si>
  <si>
    <t xml:space="preserve">Configurateur, RDV essai, agent conversationnel</t>
  </si>
  <si>
    <t xml:space="preserve">Ponctuel (dev externe/prestataire)</t>
  </si>
  <si>
    <t xml:space="preserve">Estimation développement freelance/agence Maroc</t>
  </si>
  <si>
    <t xml:space="preserve">Développement app mobile (React Native)</t>
  </si>
  <si>
    <t xml:space="preserve">Version mobile de l'app utilisateur</t>
  </si>
  <si>
    <t xml:space="preserve">Licence Tailwind UI / composants premium</t>
  </si>
  <si>
    <t xml:space="preserve">Kit UI professionnel (optionnel)</t>
  </si>
  <si>
    <t xml:space="preserve">Prix catalogue Tailwind UI</t>
  </si>
  <si>
    <t xml:space="preserve">API LLM production (Claude/GPT)</t>
  </si>
  <si>
    <t xml:space="preserve">Volume estimé ~15M tokens/mois (trafic concessionnaire)</t>
  </si>
  <si>
    <t xml:space="preserve">Estimation tarifs API à confirmer selon fournisseur et volumétrie réelle</t>
  </si>
  <si>
    <t xml:space="preserve">Base vectorielle RAG (Qdrant Cloud)</t>
  </si>
  <si>
    <t xml:space="preserve">Plan starter/pro pour RAG catalogue</t>
  </si>
  <si>
    <t xml:space="preserve">Tarif Qdrant Cloud plan starter, à vérifier</t>
  </si>
  <si>
    <t xml:space="preserve">Backend &amp; Serving</t>
  </si>
  <si>
    <t xml:space="preserve">Backend</t>
  </si>
  <si>
    <t xml:space="preserve">Serveur applicatif (API FastAPI)</t>
  </si>
  <si>
    <t xml:space="preserve">1-2 vCPU dédiés, haute dispo basique</t>
  </si>
  <si>
    <t xml:space="preserve">Estimation VPS/Cloud managé</t>
  </si>
  <si>
    <t xml:space="preserve">OAuth2/Keycloak (auth)</t>
  </si>
  <si>
    <t xml:space="preserve">Auto-hébergé, coût = infra seule</t>
  </si>
  <si>
    <t xml:space="preserve">Open source, pas de licence</t>
  </si>
  <si>
    <t xml:space="preserve">Streaming &amp; traitement de données</t>
  </si>
  <si>
    <t xml:space="preserve">Data</t>
  </si>
  <si>
    <t xml:space="preserve">Cluster Kafka managé (léger)</t>
  </si>
  <si>
    <t xml:space="preserve">Confluent Cloud basic ou équivalent</t>
  </si>
  <si>
    <t xml:space="preserve">Estimation Confluent Cloud Basic, à ajuster selon volumétrie</t>
  </si>
  <si>
    <t xml:space="preserve">Orchestration Airflow (managé ou VM)</t>
  </si>
  <si>
    <t xml:space="preserve">1 VM dédiée ou Astronomer basic</t>
  </si>
  <si>
    <t xml:space="preserve">Estimation, alternative auto-hébergée moins chère</t>
  </si>
  <si>
    <t xml:space="preserve">Traitement Spark/PySpark (à la demande)</t>
  </si>
  <si>
    <t xml:space="preserve">Jobs batch quotidiens, cluster éphémère</t>
  </si>
  <si>
    <t xml:space="preserve">Estimation cloud à l'usage (pay-as-you-go)</t>
  </si>
  <si>
    <t xml:space="preserve">Stockage</t>
  </si>
  <si>
    <t xml:space="preserve">Data lake (S3/MinIO)</t>
  </si>
  <si>
    <t xml:space="preserve">Stockage objet, volumétrie modérée</t>
  </si>
  <si>
    <t xml:space="preserve">Estimation S3 standard, tarif au Go</t>
  </si>
  <si>
    <t xml:space="preserve">Entrepôt analytique (ClickHouse Cloud)</t>
  </si>
  <si>
    <t xml:space="preserve">Plan de base pour dashboards</t>
  </si>
  <si>
    <t xml:space="preserve">Estimation ClickHouse Cloud, à ajuster</t>
  </si>
  <si>
    <t xml:space="preserve">Machine Learning &amp; MLOps</t>
  </si>
  <si>
    <t xml:space="preserve">ML</t>
  </si>
  <si>
    <t xml:space="preserve">Tracking MLflow (auto-hébergé)</t>
  </si>
  <si>
    <t xml:space="preserve">VM dédiée légère</t>
  </si>
  <si>
    <t xml:space="preserve">Coût infra seule, MLflow open source</t>
  </si>
  <si>
    <t xml:space="preserve">Feature store (Feast, auto-hébergé)</t>
  </si>
  <si>
    <t xml:space="preserve">Coût infra seule</t>
  </si>
  <si>
    <t xml:space="preserve">Open source</t>
  </si>
  <si>
    <t xml:space="preserve">MLOps</t>
  </si>
  <si>
    <t xml:space="preserve">Monitoring (Prometheus/Grafana)</t>
  </si>
  <si>
    <t xml:space="preserve">Auto-hébergé ou Grafana Cloud free/pro</t>
  </si>
  <si>
    <t xml:space="preserve">Estimation Grafana Cloud Pro si managé</t>
  </si>
  <si>
    <t xml:space="preserve">Orchestration conteneurs (Kubernetes managé)</t>
  </si>
  <si>
    <t xml:space="preserve">1 cluster K8s managé (DOKS/EKS petit)</t>
  </si>
  <si>
    <t xml:space="preserve">Estimation cluster managé 3 nœuds, à ajuster selon charge</t>
  </si>
  <si>
    <t xml:space="preserve">Pare-feu applicatif (WAF) + DDoS</t>
  </si>
  <si>
    <t xml:space="preserve">Cloudflare Pro ou équivalent</t>
  </si>
  <si>
    <t xml:space="preserve">Tarif Cloudflare Pro</t>
  </si>
  <si>
    <t xml:space="preserve">Audit sécurité / pentest annuel</t>
  </si>
  <si>
    <t xml:space="preserve">Prestataire externe, 1x/an</t>
  </si>
  <si>
    <t xml:space="preserve">Estimation prestation pentest PME au Maroc, variable selon périmètre</t>
  </si>
  <si>
    <t xml:space="preserve">Conformité données (CNDP Maroc)</t>
  </si>
  <si>
    <t xml:space="preserve">Déclaration/autorisation traitement de données</t>
  </si>
  <si>
    <t xml:space="preserve">Frais de dossier CNDP + accompagnement juridique, estimation</t>
  </si>
  <si>
    <t xml:space="preserve">Certificats SSL, sauvegardes chiffrées</t>
  </si>
  <si>
    <t xml:space="preserve">Automatisées</t>
  </si>
  <si>
    <t xml:space="preserve">Estimation</t>
  </si>
  <si>
    <t xml:space="preserve">Ressources humaines (12 mois post-stage)</t>
  </si>
  <si>
    <t xml:space="preserve">Data/ML engineer junior (temps partiel ou mi-temps)</t>
  </si>
  <si>
    <t xml:space="preserve">Maintenance, amélioration continue du modèle</t>
  </si>
  <si>
    <t xml:space="preserve">Estimation salaire junior mi-temps Maroc, à valider RH</t>
  </si>
  <si>
    <t xml:space="preserve">Formation équipe commerciale à l'outil</t>
  </si>
  <si>
    <t xml:space="preserve">1-2 sessions</t>
  </si>
  <si>
    <t xml:space="preserve">Estimation prestation formation interne</t>
  </si>
  <si>
    <t xml:space="preserve">Synthèse budgétaire</t>
  </si>
  <si>
    <t xml:space="preserve">Scénario</t>
  </si>
  <si>
    <t xml:space="preserve">Coût total (EUR, indicatif)</t>
  </si>
  <si>
    <t xml:space="preserve">MVP (2 mois — stage)</t>
  </si>
  <si>
    <t xml:space="preserve">Cible (12 mois — production)</t>
  </si>
  <si>
    <t xml:space="preserve">Note pour la présentation :</t>
  </si>
  <si>
    <t xml:space="preserve">Le budget MVP correspond à ce qui est réellement engagé pendant les 2 mois de stage (très faible, principalement un VPS de développement). Le budget cible correspond au dossier d'investissement à soumettre à la direction du concessionnaire pour la mise en production sur 12 mois, avec un ROI attendu via l'augmentation du taux de conversion des leads (à chiffrer avec les données réelles du concessionnaire une fois collectées).</t>
  </si>
</sst>
</file>

<file path=xl/styles.xml><?xml version="1.0" encoding="utf-8"?>
<styleSheet xmlns="http://schemas.openxmlformats.org/spreadsheetml/2006/main">
  <numFmts count="3">
    <numFmt numFmtId="164" formatCode="General"/>
    <numFmt numFmtId="165" formatCode="0.0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1"/>
      <color rgb="FF1F2A5E"/>
      <name val="Arial"/>
      <family val="0"/>
      <charset val="1"/>
    </font>
    <font>
      <sz val="10"/>
      <color rgb="FF0000FF"/>
      <name val="Arial"/>
      <family val="0"/>
      <charset val="1"/>
    </font>
    <font>
      <sz val="10"/>
      <color rgb="FF000000"/>
      <name val="Arial"/>
      <family val="0"/>
      <charset val="1"/>
    </font>
    <font>
      <i val="true"/>
      <sz val="9"/>
      <color rgb="FF777777"/>
      <name val="Arial"/>
      <family val="0"/>
      <charset val="1"/>
    </font>
    <font>
      <b val="true"/>
      <sz val="11"/>
      <color rgb="FFFFFFFF"/>
      <name val="Arial"/>
      <family val="0"/>
      <charset val="1"/>
    </font>
    <font>
      <b val="true"/>
      <sz val="11"/>
      <name val="Arial"/>
      <family val="0"/>
      <charset val="1"/>
    </font>
  </fonts>
  <fills count="5">
    <fill>
      <patternFill patternType="none"/>
    </fill>
    <fill>
      <patternFill patternType="gray125"/>
    </fill>
    <fill>
      <patternFill patternType="solid">
        <fgColor rgb="FF1F2A5E"/>
        <bgColor rgb="FF333333"/>
      </patternFill>
    </fill>
    <fill>
      <patternFill patternType="solid">
        <fgColor rgb="FFF5A623"/>
        <bgColor rgb="FFFFCC00"/>
      </patternFill>
    </fill>
    <fill>
      <patternFill patternType="solid">
        <fgColor rgb="FFEEF1F8"/>
        <bgColor rgb="FFFFFFFF"/>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9"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right" vertical="bottom" textRotation="0" wrapText="false" indent="0" shrinkToFit="false"/>
      <protection locked="true" hidden="false"/>
    </xf>
    <xf numFmtId="166" fontId="10" fillId="3" borderId="0" xfId="0" applyFont="true" applyBorder="fals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777777"/>
      <rgbColor rgb="FF9999FF"/>
      <rgbColor rgb="FF993366"/>
      <rgbColor rgb="FFEEF1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5A623"/>
      <rgbColor rgb="FFFF6600"/>
      <rgbColor rgb="FF666699"/>
      <rgbColor rgb="FF969696"/>
      <rgbColor rgb="FF1F2A5E"/>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22"/>
    <col collapsed="false" customWidth="true" hidden="false" outlineLevel="0" max="3" min="3" style="0" width="60"/>
  </cols>
  <sheetData>
    <row r="1" customFormat="false" ht="30" hidden="false" customHeight="true" outlineLevel="0" collapsed="false">
      <c r="A1" s="1" t="s">
        <v>0</v>
      </c>
      <c r="B1" s="1"/>
      <c r="C1" s="1"/>
    </row>
    <row r="3" customFormat="false" ht="15" hidden="false" customHeight="false" outlineLevel="0" collapsed="false">
      <c r="A3" s="2" t="s">
        <v>1</v>
      </c>
    </row>
    <row r="4" customFormat="false" ht="15" hidden="false" customHeight="false" outlineLevel="0" collapsed="false">
      <c r="A4" s="0" t="s">
        <v>2</v>
      </c>
      <c r="B4" s="3" t="n">
        <v>10.9</v>
      </c>
      <c r="C4" s="4" t="s">
        <v>3</v>
      </c>
    </row>
    <row r="5" customFormat="false" ht="15" hidden="false" customHeight="false" outlineLevel="0" collapsed="false">
      <c r="A5" s="0" t="s">
        <v>4</v>
      </c>
      <c r="B5" s="3" t="n">
        <v>9.4</v>
      </c>
      <c r="C5" s="4" t="s">
        <v>3</v>
      </c>
    </row>
    <row r="7" customFormat="false" ht="15" hidden="false" customHeight="false" outlineLevel="0" collapsed="false">
      <c r="A7" s="2" t="s">
        <v>5</v>
      </c>
    </row>
    <row r="8" customFormat="false" ht="15" hidden="false" customHeight="false" outlineLevel="0" collapsed="false">
      <c r="A8" s="5" t="s">
        <v>6</v>
      </c>
      <c r="B8" s="6" t="s">
        <v>7</v>
      </c>
      <c r="C8" s="7" t="s">
        <v>8</v>
      </c>
    </row>
    <row r="9" customFormat="false" ht="15" hidden="false" customHeight="false" outlineLevel="0" collapsed="false">
      <c r="A9" s="5" t="s">
        <v>9</v>
      </c>
      <c r="B9" s="6" t="s">
        <v>10</v>
      </c>
      <c r="C9" s="7" t="s">
        <v>11</v>
      </c>
    </row>
    <row r="10" customFormat="false" ht="15" hidden="false" customHeight="false" outlineLevel="0" collapsed="false">
      <c r="A10" s="5" t="s">
        <v>12</v>
      </c>
      <c r="B10" s="6" t="s">
        <v>13</v>
      </c>
      <c r="C10" s="7" t="s">
        <v>14</v>
      </c>
    </row>
    <row r="11" customFormat="false" ht="15" hidden="false" customHeight="false" outlineLevel="0" collapsed="false">
      <c r="A11" s="5" t="s">
        <v>15</v>
      </c>
      <c r="B11" s="6" t="s">
        <v>16</v>
      </c>
      <c r="C11" s="7" t="s">
        <v>17</v>
      </c>
    </row>
    <row r="14" customFormat="false" ht="15" hidden="false" customHeight="false" outlineLevel="0" collapsed="false">
      <c r="A14" s="2" t="s">
        <v>18</v>
      </c>
    </row>
    <row r="15" customFormat="false" ht="15" hidden="false" customHeight="false" outlineLevel="0" collapsed="false">
      <c r="A15" s="8" t="s">
        <v>19</v>
      </c>
      <c r="B15" s="8"/>
      <c r="C15" s="8"/>
    </row>
    <row r="16" customFormat="false" ht="15" hidden="false" customHeight="false" outlineLevel="0" collapsed="false">
      <c r="A16" s="8" t="s">
        <v>20</v>
      </c>
      <c r="B16" s="8"/>
      <c r="C16" s="8"/>
    </row>
    <row r="17" customFormat="false" ht="15" hidden="false" customHeight="false" outlineLevel="0" collapsed="false">
      <c r="A17" s="8" t="s">
        <v>21</v>
      </c>
      <c r="B17" s="8"/>
      <c r="C17" s="8"/>
    </row>
    <row r="18" customFormat="false" ht="15" hidden="false" customHeight="false" outlineLevel="0" collapsed="false">
      <c r="A18" s="8" t="s">
        <v>22</v>
      </c>
      <c r="B18" s="8"/>
      <c r="C18" s="8"/>
    </row>
  </sheetData>
  <mergeCells count="5">
    <mergeCell ref="A1:C1"/>
    <mergeCell ref="A15:C15"/>
    <mergeCell ref="A16:C16"/>
    <mergeCell ref="A17:C17"/>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0"/>
    <col collapsed="false" customWidth="true" hidden="false" outlineLevel="0" max="5" min="4" style="0" width="16"/>
    <col collapsed="false" customWidth="true" hidden="false" outlineLevel="0" max="6" min="6" style="0" width="14"/>
    <col collapsed="false" customWidth="true" hidden="false" outlineLevel="0" max="7" min="7" style="0" width="16"/>
    <col collapsed="false" customWidth="true" hidden="false" outlineLevel="0" max="8" min="8" style="0" width="42"/>
  </cols>
  <sheetData>
    <row r="1" customFormat="false" ht="25.5" hidden="false" customHeight="true" outlineLevel="0" collapsed="false">
      <c r="A1" s="1" t="s">
        <v>23</v>
      </c>
      <c r="B1" s="1"/>
      <c r="C1" s="1"/>
      <c r="D1" s="1"/>
      <c r="E1" s="1"/>
      <c r="F1" s="1"/>
      <c r="G1" s="1"/>
      <c r="H1" s="1"/>
    </row>
    <row r="3" customFormat="false" ht="26.85" hidden="false" customHeight="false" outlineLevel="0" collapsed="false">
      <c r="A3" s="9" t="s">
        <v>24</v>
      </c>
      <c r="B3" s="9" t="s">
        <v>25</v>
      </c>
      <c r="C3" s="9" t="s">
        <v>26</v>
      </c>
      <c r="D3" s="9" t="s">
        <v>27</v>
      </c>
      <c r="E3" s="9" t="s">
        <v>28</v>
      </c>
      <c r="F3" s="9" t="s">
        <v>29</v>
      </c>
      <c r="G3" s="9" t="s">
        <v>30</v>
      </c>
      <c r="H3" s="9" t="s">
        <v>31</v>
      </c>
    </row>
    <row r="4" customFormat="false" ht="15" hidden="false" customHeight="false" outlineLevel="0" collapsed="false">
      <c r="A4" s="10" t="s">
        <v>32</v>
      </c>
      <c r="B4" s="10"/>
      <c r="C4" s="10"/>
      <c r="D4" s="10"/>
      <c r="E4" s="10"/>
      <c r="F4" s="10"/>
      <c r="G4" s="10"/>
      <c r="H4" s="10"/>
    </row>
    <row r="5" customFormat="false" ht="15" hidden="false" customHeight="false" outlineLevel="0" collapsed="false">
      <c r="A5" s="11" t="s">
        <v>33</v>
      </c>
      <c r="B5" s="11" t="s">
        <v>34</v>
      </c>
      <c r="C5" s="11" t="s">
        <v>35</v>
      </c>
      <c r="D5" s="11" t="s">
        <v>36</v>
      </c>
      <c r="E5" s="12" t="n">
        <v>350</v>
      </c>
      <c r="F5" s="13" t="n">
        <v>2</v>
      </c>
      <c r="G5" s="14" t="n">
        <f aca="false">E5*F5</f>
        <v>700</v>
      </c>
      <c r="H5" s="15" t="s">
        <v>37</v>
      </c>
    </row>
    <row r="6" customFormat="false" ht="15" hidden="false" customHeight="false" outlineLevel="0" collapsed="false">
      <c r="A6" s="16" t="s">
        <v>33</v>
      </c>
      <c r="B6" s="16" t="s">
        <v>38</v>
      </c>
      <c r="C6" s="16" t="s">
        <v>39</v>
      </c>
      <c r="D6" s="16" t="s">
        <v>36</v>
      </c>
      <c r="E6" s="17" t="n">
        <v>0</v>
      </c>
      <c r="F6" s="18" t="n">
        <v>2</v>
      </c>
      <c r="G6" s="19" t="n">
        <f aca="false">E6*F6</f>
        <v>0</v>
      </c>
      <c r="H6" s="20" t="s">
        <v>40</v>
      </c>
    </row>
    <row r="7" customFormat="false" ht="15" hidden="false" customHeight="false" outlineLevel="0" collapsed="false">
      <c r="A7" s="11" t="s">
        <v>33</v>
      </c>
      <c r="B7" s="11" t="s">
        <v>41</v>
      </c>
      <c r="C7" s="11" t="s">
        <v>42</v>
      </c>
      <c r="D7" s="11" t="s">
        <v>43</v>
      </c>
      <c r="E7" s="12" t="n">
        <v>150</v>
      </c>
      <c r="F7" s="13" t="n">
        <v>1</v>
      </c>
      <c r="G7" s="14" t="n">
        <f aca="false">E7*F7</f>
        <v>150</v>
      </c>
      <c r="H7" s="15" t="s">
        <v>44</v>
      </c>
    </row>
    <row r="8" customFormat="false" ht="15" hidden="false" customHeight="false" outlineLevel="0" collapsed="false">
      <c r="A8" s="10" t="s">
        <v>45</v>
      </c>
      <c r="B8" s="10"/>
      <c r="C8" s="10"/>
      <c r="D8" s="10"/>
      <c r="E8" s="10"/>
      <c r="F8" s="10"/>
      <c r="G8" s="10"/>
      <c r="H8" s="10"/>
    </row>
    <row r="9" customFormat="false" ht="15" hidden="false" customHeight="false" outlineLevel="0" collapsed="false">
      <c r="A9" s="11" t="s">
        <v>46</v>
      </c>
      <c r="B9" s="11" t="s">
        <v>47</v>
      </c>
      <c r="C9" s="11" t="s">
        <v>48</v>
      </c>
      <c r="D9" s="11" t="s">
        <v>49</v>
      </c>
      <c r="E9" s="12" t="n">
        <v>0</v>
      </c>
      <c r="F9" s="13" t="n">
        <v>1</v>
      </c>
      <c r="G9" s="14" t="n">
        <f aca="false">E9*F9</f>
        <v>0</v>
      </c>
      <c r="H9" s="15" t="s">
        <v>50</v>
      </c>
    </row>
    <row r="10" customFormat="false" ht="15" hidden="false" customHeight="false" outlineLevel="0" collapsed="false">
      <c r="A10" s="16" t="s">
        <v>51</v>
      </c>
      <c r="B10" s="16" t="s">
        <v>52</v>
      </c>
      <c r="C10" s="16" t="s">
        <v>53</v>
      </c>
      <c r="D10" s="16" t="s">
        <v>54</v>
      </c>
      <c r="E10" s="17" t="n">
        <v>400</v>
      </c>
      <c r="F10" s="18" t="n">
        <v>1</v>
      </c>
      <c r="G10" s="19" t="n">
        <f aca="false">E10*F10</f>
        <v>400</v>
      </c>
      <c r="H10" s="20" t="s">
        <v>55</v>
      </c>
    </row>
    <row r="11" customFormat="false" ht="15" hidden="false" customHeight="false" outlineLevel="0" collapsed="false">
      <c r="A11" s="10" t="s">
        <v>56</v>
      </c>
      <c r="B11" s="10"/>
      <c r="C11" s="10"/>
      <c r="D11" s="10"/>
      <c r="E11" s="10"/>
      <c r="F11" s="10"/>
      <c r="G11" s="10"/>
      <c r="H11" s="10"/>
    </row>
    <row r="12" customFormat="false" ht="15" hidden="false" customHeight="false" outlineLevel="0" collapsed="false">
      <c r="A12" s="16" t="s">
        <v>57</v>
      </c>
      <c r="B12" s="16" t="s">
        <v>58</v>
      </c>
      <c r="C12" s="16" t="s">
        <v>59</v>
      </c>
      <c r="D12" s="16" t="s">
        <v>60</v>
      </c>
      <c r="E12" s="17" t="n">
        <v>0</v>
      </c>
      <c r="F12" s="18" t="n">
        <v>1</v>
      </c>
      <c r="G12" s="19" t="n">
        <f aca="false">E12*F12</f>
        <v>0</v>
      </c>
      <c r="H12" s="20" t="s">
        <v>60</v>
      </c>
    </row>
    <row r="13" customFormat="false" ht="15" hidden="false" customHeight="false" outlineLevel="0" collapsed="false">
      <c r="A13" s="11" t="s">
        <v>57</v>
      </c>
      <c r="B13" s="11" t="s">
        <v>61</v>
      </c>
      <c r="C13" s="11" t="s">
        <v>62</v>
      </c>
      <c r="D13" s="11" t="s">
        <v>36</v>
      </c>
      <c r="E13" s="12" t="n">
        <v>0</v>
      </c>
      <c r="F13" s="13" t="n">
        <v>2</v>
      </c>
      <c r="G13" s="14" t="n">
        <f aca="false">E13*F13</f>
        <v>0</v>
      </c>
      <c r="H13" s="15" t="s">
        <v>63</v>
      </c>
    </row>
    <row r="14" customFormat="false" ht="15" hidden="false" customHeight="false" outlineLevel="0" collapsed="false">
      <c r="A14" s="10" t="s">
        <v>64</v>
      </c>
      <c r="B14" s="10"/>
      <c r="C14" s="10"/>
      <c r="D14" s="10"/>
      <c r="E14" s="10"/>
      <c r="F14" s="10"/>
      <c r="G14" s="10"/>
      <c r="H14" s="10"/>
    </row>
    <row r="15" customFormat="false" ht="15" hidden="false" customHeight="false" outlineLevel="0" collapsed="false">
      <c r="A15" s="11" t="s">
        <v>65</v>
      </c>
      <c r="B15" s="11" t="s">
        <v>66</v>
      </c>
      <c r="C15" s="11" t="s">
        <v>67</v>
      </c>
      <c r="D15" s="11" t="s">
        <v>68</v>
      </c>
      <c r="E15" s="12" t="n">
        <v>0</v>
      </c>
      <c r="F15" s="13" t="n">
        <v>1</v>
      </c>
      <c r="G15" s="14" t="n">
        <f aca="false">E15*F15</f>
        <v>0</v>
      </c>
      <c r="H15" s="15" t="s">
        <v>69</v>
      </c>
    </row>
    <row r="16" customFormat="false" ht="15" hidden="false" customHeight="false" outlineLevel="0" collapsed="false">
      <c r="F16" s="21" t="s">
        <v>70</v>
      </c>
      <c r="G16" s="22" t="n">
        <f aca="false">SUM(G4:G15)</f>
        <v>1250</v>
      </c>
    </row>
  </sheetData>
  <mergeCells count="5">
    <mergeCell ref="A1:H1"/>
    <mergeCell ref="A4:H4"/>
    <mergeCell ref="A8:H8"/>
    <mergeCell ref="A11:H11"/>
    <mergeCell ref="A14:H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0"/>
    <col collapsed="false" customWidth="true" hidden="false" outlineLevel="0" max="5" min="4" style="0" width="16"/>
    <col collapsed="false" customWidth="true" hidden="false" outlineLevel="0" max="6" min="6" style="0" width="14"/>
    <col collapsed="false" customWidth="true" hidden="false" outlineLevel="0" max="7" min="7" style="0" width="16"/>
    <col collapsed="false" customWidth="true" hidden="false" outlineLevel="0" max="8" min="8" style="0" width="42"/>
  </cols>
  <sheetData>
    <row r="1" customFormat="false" ht="25.5" hidden="false" customHeight="true" outlineLevel="0" collapsed="false">
      <c r="A1" s="1" t="s">
        <v>71</v>
      </c>
      <c r="B1" s="1"/>
      <c r="C1" s="1"/>
      <c r="D1" s="1"/>
      <c r="E1" s="1"/>
      <c r="F1" s="1"/>
      <c r="G1" s="1"/>
      <c r="H1" s="1"/>
    </row>
    <row r="3" customFormat="false" ht="26.85" hidden="false" customHeight="false" outlineLevel="0" collapsed="false">
      <c r="A3" s="9" t="s">
        <v>24</v>
      </c>
      <c r="B3" s="9" t="s">
        <v>25</v>
      </c>
      <c r="C3" s="9" t="s">
        <v>26</v>
      </c>
      <c r="D3" s="9" t="s">
        <v>27</v>
      </c>
      <c r="E3" s="9" t="s">
        <v>28</v>
      </c>
      <c r="F3" s="9" t="s">
        <v>29</v>
      </c>
      <c r="G3" s="9" t="s">
        <v>30</v>
      </c>
      <c r="H3" s="9" t="s">
        <v>31</v>
      </c>
    </row>
    <row r="4" customFormat="false" ht="15" hidden="false" customHeight="false" outlineLevel="0" collapsed="false">
      <c r="A4" s="10" t="s">
        <v>72</v>
      </c>
      <c r="B4" s="10"/>
      <c r="C4" s="10"/>
      <c r="D4" s="10"/>
      <c r="E4" s="10"/>
      <c r="F4" s="10"/>
      <c r="G4" s="10"/>
      <c r="H4" s="10"/>
    </row>
    <row r="5" customFormat="false" ht="15" hidden="false" customHeight="false" outlineLevel="0" collapsed="false">
      <c r="A5" s="11" t="s">
        <v>72</v>
      </c>
      <c r="B5" s="11" t="s">
        <v>73</v>
      </c>
      <c r="C5" s="11" t="s">
        <v>74</v>
      </c>
      <c r="D5" s="11" t="s">
        <v>75</v>
      </c>
      <c r="E5" s="12" t="n">
        <v>25000</v>
      </c>
      <c r="F5" s="13" t="n">
        <v>1</v>
      </c>
      <c r="G5" s="14" t="n">
        <f aca="false">E5*F5</f>
        <v>25000</v>
      </c>
      <c r="H5" s="15" t="s">
        <v>76</v>
      </c>
    </row>
    <row r="6" customFormat="false" ht="15" hidden="false" customHeight="false" outlineLevel="0" collapsed="false">
      <c r="A6" s="16" t="s">
        <v>72</v>
      </c>
      <c r="B6" s="16" t="s">
        <v>77</v>
      </c>
      <c r="C6" s="16" t="s">
        <v>78</v>
      </c>
      <c r="D6" s="16" t="s">
        <v>49</v>
      </c>
      <c r="E6" s="17" t="n">
        <v>20000</v>
      </c>
      <c r="F6" s="18" t="n">
        <v>1</v>
      </c>
      <c r="G6" s="19" t="n">
        <f aca="false">E6*F6</f>
        <v>20000</v>
      </c>
      <c r="H6" s="20" t="s">
        <v>76</v>
      </c>
    </row>
    <row r="7" customFormat="false" ht="15" hidden="false" customHeight="false" outlineLevel="0" collapsed="false">
      <c r="A7" s="11" t="s">
        <v>72</v>
      </c>
      <c r="B7" s="11" t="s">
        <v>79</v>
      </c>
      <c r="C7" s="11" t="s">
        <v>80</v>
      </c>
      <c r="D7" s="11" t="s">
        <v>49</v>
      </c>
      <c r="E7" s="12" t="n">
        <v>3000</v>
      </c>
      <c r="F7" s="13" t="n">
        <v>1</v>
      </c>
      <c r="G7" s="14" t="n">
        <f aca="false">E7*F7</f>
        <v>3000</v>
      </c>
      <c r="H7" s="15" t="s">
        <v>81</v>
      </c>
    </row>
    <row r="8" customFormat="false" ht="15" hidden="false" customHeight="false" outlineLevel="0" collapsed="false">
      <c r="A8" s="10" t="s">
        <v>51</v>
      </c>
      <c r="B8" s="10"/>
      <c r="C8" s="10"/>
      <c r="D8" s="10"/>
      <c r="E8" s="10"/>
      <c r="F8" s="10"/>
      <c r="G8" s="10"/>
      <c r="H8" s="10"/>
    </row>
    <row r="9" customFormat="false" ht="15" hidden="false" customHeight="false" outlineLevel="0" collapsed="false">
      <c r="A9" s="11" t="s">
        <v>51</v>
      </c>
      <c r="B9" s="11" t="s">
        <v>82</v>
      </c>
      <c r="C9" s="11" t="s">
        <v>83</v>
      </c>
      <c r="D9" s="11" t="s">
        <v>36</v>
      </c>
      <c r="E9" s="12" t="n">
        <v>4500</v>
      </c>
      <c r="F9" s="13" t="n">
        <v>12</v>
      </c>
      <c r="G9" s="14" t="n">
        <f aca="false">E9*F9</f>
        <v>54000</v>
      </c>
      <c r="H9" s="15" t="s">
        <v>84</v>
      </c>
    </row>
    <row r="10" customFormat="false" ht="15" hidden="false" customHeight="false" outlineLevel="0" collapsed="false">
      <c r="A10" s="16" t="s">
        <v>51</v>
      </c>
      <c r="B10" s="16" t="s">
        <v>85</v>
      </c>
      <c r="C10" s="16" t="s">
        <v>86</v>
      </c>
      <c r="D10" s="16" t="s">
        <v>36</v>
      </c>
      <c r="E10" s="17" t="n">
        <v>900</v>
      </c>
      <c r="F10" s="18" t="n">
        <v>12</v>
      </c>
      <c r="G10" s="19" t="n">
        <f aca="false">E10*F10</f>
        <v>10800</v>
      </c>
      <c r="H10" s="20" t="s">
        <v>87</v>
      </c>
    </row>
    <row r="11" customFormat="false" ht="15" hidden="false" customHeight="false" outlineLevel="0" collapsed="false">
      <c r="A11" s="10" t="s">
        <v>88</v>
      </c>
      <c r="B11" s="10"/>
      <c r="C11" s="10"/>
      <c r="D11" s="10"/>
      <c r="E11" s="10"/>
      <c r="F11" s="10"/>
      <c r="G11" s="10"/>
      <c r="H11" s="10"/>
    </row>
    <row r="12" customFormat="false" ht="15" hidden="false" customHeight="false" outlineLevel="0" collapsed="false">
      <c r="A12" s="16" t="s">
        <v>89</v>
      </c>
      <c r="B12" s="16" t="s">
        <v>90</v>
      </c>
      <c r="C12" s="16" t="s">
        <v>91</v>
      </c>
      <c r="D12" s="16" t="s">
        <v>36</v>
      </c>
      <c r="E12" s="17" t="n">
        <v>700</v>
      </c>
      <c r="F12" s="18" t="n">
        <v>12</v>
      </c>
      <c r="G12" s="19" t="n">
        <f aca="false">E12*F12</f>
        <v>8400</v>
      </c>
      <c r="H12" s="20" t="s">
        <v>92</v>
      </c>
    </row>
    <row r="13" customFormat="false" ht="15" hidden="false" customHeight="false" outlineLevel="0" collapsed="false">
      <c r="A13" s="11" t="s">
        <v>89</v>
      </c>
      <c r="B13" s="11" t="s">
        <v>93</v>
      </c>
      <c r="C13" s="11" t="s">
        <v>94</v>
      </c>
      <c r="D13" s="11" t="s">
        <v>36</v>
      </c>
      <c r="E13" s="12" t="n">
        <v>0</v>
      </c>
      <c r="F13" s="13" t="n">
        <v>12</v>
      </c>
      <c r="G13" s="14" t="n">
        <f aca="false">E13*F13</f>
        <v>0</v>
      </c>
      <c r="H13" s="15" t="s">
        <v>95</v>
      </c>
    </row>
    <row r="14" customFormat="false" ht="15" hidden="false" customHeight="false" outlineLevel="0" collapsed="false">
      <c r="A14" s="10" t="s">
        <v>96</v>
      </c>
      <c r="B14" s="10"/>
      <c r="C14" s="10"/>
      <c r="D14" s="10"/>
      <c r="E14" s="10"/>
      <c r="F14" s="10"/>
      <c r="G14" s="10"/>
      <c r="H14" s="10"/>
    </row>
    <row r="15" customFormat="false" ht="15" hidden="false" customHeight="false" outlineLevel="0" collapsed="false">
      <c r="A15" s="11" t="s">
        <v>97</v>
      </c>
      <c r="B15" s="11" t="s">
        <v>98</v>
      </c>
      <c r="C15" s="11" t="s">
        <v>99</v>
      </c>
      <c r="D15" s="11" t="s">
        <v>36</v>
      </c>
      <c r="E15" s="12" t="n">
        <v>1800</v>
      </c>
      <c r="F15" s="13" t="n">
        <v>12</v>
      </c>
      <c r="G15" s="14" t="n">
        <f aca="false">E15*F15</f>
        <v>21600</v>
      </c>
      <c r="H15" s="15" t="s">
        <v>100</v>
      </c>
    </row>
    <row r="16" customFormat="false" ht="15" hidden="false" customHeight="false" outlineLevel="0" collapsed="false">
      <c r="A16" s="16" t="s">
        <v>97</v>
      </c>
      <c r="B16" s="16" t="s">
        <v>101</v>
      </c>
      <c r="C16" s="16" t="s">
        <v>102</v>
      </c>
      <c r="D16" s="16" t="s">
        <v>36</v>
      </c>
      <c r="E16" s="17" t="n">
        <v>900</v>
      </c>
      <c r="F16" s="18" t="n">
        <v>12</v>
      </c>
      <c r="G16" s="19" t="n">
        <f aca="false">E16*F16</f>
        <v>10800</v>
      </c>
      <c r="H16" s="20" t="s">
        <v>103</v>
      </c>
    </row>
    <row r="17" customFormat="false" ht="15" hidden="false" customHeight="false" outlineLevel="0" collapsed="false">
      <c r="A17" s="11" t="s">
        <v>97</v>
      </c>
      <c r="B17" s="11" t="s">
        <v>104</v>
      </c>
      <c r="C17" s="11" t="s">
        <v>105</v>
      </c>
      <c r="D17" s="11" t="s">
        <v>36</v>
      </c>
      <c r="E17" s="12" t="n">
        <v>1200</v>
      </c>
      <c r="F17" s="13" t="n">
        <v>12</v>
      </c>
      <c r="G17" s="14" t="n">
        <f aca="false">E17*F17</f>
        <v>14400</v>
      </c>
      <c r="H17" s="15" t="s">
        <v>106</v>
      </c>
    </row>
    <row r="18" customFormat="false" ht="15" hidden="false" customHeight="false" outlineLevel="0" collapsed="false">
      <c r="A18" s="10" t="s">
        <v>107</v>
      </c>
      <c r="B18" s="10"/>
      <c r="C18" s="10"/>
      <c r="D18" s="10"/>
      <c r="E18" s="10"/>
      <c r="F18" s="10"/>
      <c r="G18" s="10"/>
      <c r="H18" s="10"/>
    </row>
    <row r="19" customFormat="false" ht="15" hidden="false" customHeight="false" outlineLevel="0" collapsed="false">
      <c r="A19" s="11" t="s">
        <v>107</v>
      </c>
      <c r="B19" s="11" t="s">
        <v>108</v>
      </c>
      <c r="C19" s="11" t="s">
        <v>109</v>
      </c>
      <c r="D19" s="11" t="s">
        <v>36</v>
      </c>
      <c r="E19" s="12" t="n">
        <v>300</v>
      </c>
      <c r="F19" s="13" t="n">
        <v>12</v>
      </c>
      <c r="G19" s="14" t="n">
        <f aca="false">E19*F19</f>
        <v>3600</v>
      </c>
      <c r="H19" s="15" t="s">
        <v>110</v>
      </c>
    </row>
    <row r="20" customFormat="false" ht="15" hidden="false" customHeight="false" outlineLevel="0" collapsed="false">
      <c r="A20" s="16" t="s">
        <v>107</v>
      </c>
      <c r="B20" s="16" t="s">
        <v>111</v>
      </c>
      <c r="C20" s="16" t="s">
        <v>112</v>
      </c>
      <c r="D20" s="16" t="s">
        <v>36</v>
      </c>
      <c r="E20" s="17" t="n">
        <v>1500</v>
      </c>
      <c r="F20" s="18" t="n">
        <v>12</v>
      </c>
      <c r="G20" s="19" t="n">
        <f aca="false">E20*F20</f>
        <v>18000</v>
      </c>
      <c r="H20" s="20" t="s">
        <v>113</v>
      </c>
    </row>
    <row r="21" customFormat="false" ht="15" hidden="false" customHeight="false" outlineLevel="0" collapsed="false">
      <c r="A21" s="10" t="s">
        <v>114</v>
      </c>
      <c r="B21" s="10"/>
      <c r="C21" s="10"/>
      <c r="D21" s="10"/>
      <c r="E21" s="10"/>
      <c r="F21" s="10"/>
      <c r="G21" s="10"/>
      <c r="H21" s="10"/>
    </row>
    <row r="22" customFormat="false" ht="15" hidden="false" customHeight="false" outlineLevel="0" collapsed="false">
      <c r="A22" s="16" t="s">
        <v>115</v>
      </c>
      <c r="B22" s="16" t="s">
        <v>116</v>
      </c>
      <c r="C22" s="16" t="s">
        <v>117</v>
      </c>
      <c r="D22" s="16" t="s">
        <v>36</v>
      </c>
      <c r="E22" s="17" t="n">
        <v>250</v>
      </c>
      <c r="F22" s="18" t="n">
        <v>12</v>
      </c>
      <c r="G22" s="19" t="n">
        <f aca="false">E22*F22</f>
        <v>3000</v>
      </c>
      <c r="H22" s="20" t="s">
        <v>118</v>
      </c>
    </row>
    <row r="23" customFormat="false" ht="15" hidden="false" customHeight="false" outlineLevel="0" collapsed="false">
      <c r="A23" s="11" t="s">
        <v>115</v>
      </c>
      <c r="B23" s="11" t="s">
        <v>119</v>
      </c>
      <c r="C23" s="11" t="s">
        <v>120</v>
      </c>
      <c r="D23" s="11" t="s">
        <v>36</v>
      </c>
      <c r="E23" s="12" t="n">
        <v>0</v>
      </c>
      <c r="F23" s="13" t="n">
        <v>12</v>
      </c>
      <c r="G23" s="14" t="n">
        <f aca="false">E23*F23</f>
        <v>0</v>
      </c>
      <c r="H23" s="15" t="s">
        <v>121</v>
      </c>
    </row>
    <row r="24" customFormat="false" ht="15" hidden="false" customHeight="false" outlineLevel="0" collapsed="false">
      <c r="A24" s="16" t="s">
        <v>122</v>
      </c>
      <c r="B24" s="16" t="s">
        <v>123</v>
      </c>
      <c r="C24" s="16" t="s">
        <v>124</v>
      </c>
      <c r="D24" s="16" t="s">
        <v>36</v>
      </c>
      <c r="E24" s="17" t="n">
        <v>400</v>
      </c>
      <c r="F24" s="18" t="n">
        <v>12</v>
      </c>
      <c r="G24" s="19" t="n">
        <f aca="false">E24*F24</f>
        <v>4800</v>
      </c>
      <c r="H24" s="20" t="s">
        <v>125</v>
      </c>
    </row>
    <row r="25" customFormat="false" ht="15" hidden="false" customHeight="false" outlineLevel="0" collapsed="false">
      <c r="A25" s="11" t="s">
        <v>122</v>
      </c>
      <c r="B25" s="11" t="s">
        <v>126</v>
      </c>
      <c r="C25" s="11" t="s">
        <v>127</v>
      </c>
      <c r="D25" s="11" t="s">
        <v>36</v>
      </c>
      <c r="E25" s="12" t="n">
        <v>2200</v>
      </c>
      <c r="F25" s="13" t="n">
        <v>12</v>
      </c>
      <c r="G25" s="14" t="n">
        <f aca="false">E25*F25</f>
        <v>26400</v>
      </c>
      <c r="H25" s="15" t="s">
        <v>128</v>
      </c>
    </row>
    <row r="26" customFormat="false" ht="15" hidden="false" customHeight="false" outlineLevel="0" collapsed="false">
      <c r="A26" s="10" t="s">
        <v>57</v>
      </c>
      <c r="B26" s="10"/>
      <c r="C26" s="10"/>
      <c r="D26" s="10"/>
      <c r="E26" s="10"/>
      <c r="F26" s="10"/>
      <c r="G26" s="10"/>
      <c r="H26" s="10"/>
    </row>
    <row r="27" customFormat="false" ht="15" hidden="false" customHeight="false" outlineLevel="0" collapsed="false">
      <c r="A27" s="11" t="s">
        <v>57</v>
      </c>
      <c r="B27" s="11" t="s">
        <v>129</v>
      </c>
      <c r="C27" s="11" t="s">
        <v>130</v>
      </c>
      <c r="D27" s="11" t="s">
        <v>36</v>
      </c>
      <c r="E27" s="12" t="n">
        <v>250</v>
      </c>
      <c r="F27" s="13" t="n">
        <v>12</v>
      </c>
      <c r="G27" s="14" t="n">
        <f aca="false">E27*F27</f>
        <v>3000</v>
      </c>
      <c r="H27" s="15" t="s">
        <v>131</v>
      </c>
    </row>
    <row r="28" customFormat="false" ht="15" hidden="false" customHeight="false" outlineLevel="0" collapsed="false">
      <c r="A28" s="16" t="s">
        <v>57</v>
      </c>
      <c r="B28" s="16" t="s">
        <v>132</v>
      </c>
      <c r="C28" s="16" t="s">
        <v>133</v>
      </c>
      <c r="D28" s="16" t="s">
        <v>43</v>
      </c>
      <c r="E28" s="17" t="n">
        <v>25000</v>
      </c>
      <c r="F28" s="18" t="n">
        <v>1</v>
      </c>
      <c r="G28" s="19" t="n">
        <f aca="false">E28*F28</f>
        <v>25000</v>
      </c>
      <c r="H28" s="20" t="s">
        <v>134</v>
      </c>
    </row>
    <row r="29" customFormat="false" ht="15" hidden="false" customHeight="false" outlineLevel="0" collapsed="false">
      <c r="A29" s="11" t="s">
        <v>57</v>
      </c>
      <c r="B29" s="11" t="s">
        <v>135</v>
      </c>
      <c r="C29" s="11" t="s">
        <v>136</v>
      </c>
      <c r="D29" s="11" t="s">
        <v>49</v>
      </c>
      <c r="E29" s="12" t="n">
        <v>3000</v>
      </c>
      <c r="F29" s="13" t="n">
        <v>1</v>
      </c>
      <c r="G29" s="14" t="n">
        <f aca="false">E29*F29</f>
        <v>3000</v>
      </c>
      <c r="H29" s="15" t="s">
        <v>137</v>
      </c>
    </row>
    <row r="30" customFormat="false" ht="15" hidden="false" customHeight="false" outlineLevel="0" collapsed="false">
      <c r="A30" s="16" t="s">
        <v>57</v>
      </c>
      <c r="B30" s="16" t="s">
        <v>138</v>
      </c>
      <c r="C30" s="16" t="s">
        <v>139</v>
      </c>
      <c r="D30" s="16" t="s">
        <v>36</v>
      </c>
      <c r="E30" s="17" t="n">
        <v>150</v>
      </c>
      <c r="F30" s="18" t="n">
        <v>12</v>
      </c>
      <c r="G30" s="19" t="n">
        <f aca="false">E30*F30</f>
        <v>1800</v>
      </c>
      <c r="H30" s="20" t="s">
        <v>140</v>
      </c>
    </row>
    <row r="31" customFormat="false" ht="15" hidden="false" customHeight="false" outlineLevel="0" collapsed="false">
      <c r="A31" s="10" t="s">
        <v>141</v>
      </c>
      <c r="B31" s="10"/>
      <c r="C31" s="10"/>
      <c r="D31" s="10"/>
      <c r="E31" s="10"/>
      <c r="F31" s="10"/>
      <c r="G31" s="10"/>
      <c r="H31" s="10"/>
    </row>
    <row r="32" customFormat="false" ht="15" hidden="false" customHeight="false" outlineLevel="0" collapsed="false">
      <c r="A32" s="16" t="s">
        <v>65</v>
      </c>
      <c r="B32" s="16" t="s">
        <v>142</v>
      </c>
      <c r="C32" s="16" t="s">
        <v>143</v>
      </c>
      <c r="D32" s="16" t="s">
        <v>36</v>
      </c>
      <c r="E32" s="17" t="n">
        <v>8000</v>
      </c>
      <c r="F32" s="18" t="n">
        <v>12</v>
      </c>
      <c r="G32" s="19" t="n">
        <f aca="false">E32*F32</f>
        <v>96000</v>
      </c>
      <c r="H32" s="20" t="s">
        <v>144</v>
      </c>
    </row>
    <row r="33" customFormat="false" ht="15" hidden="false" customHeight="false" outlineLevel="0" collapsed="false">
      <c r="A33" s="11" t="s">
        <v>65</v>
      </c>
      <c r="B33" s="11" t="s">
        <v>145</v>
      </c>
      <c r="C33" s="11" t="s">
        <v>146</v>
      </c>
      <c r="D33" s="11" t="s">
        <v>49</v>
      </c>
      <c r="E33" s="12" t="n">
        <v>5000</v>
      </c>
      <c r="F33" s="13" t="n">
        <v>1</v>
      </c>
      <c r="G33" s="14" t="n">
        <f aca="false">E33*F33</f>
        <v>5000</v>
      </c>
      <c r="H33" s="15" t="s">
        <v>147</v>
      </c>
    </row>
    <row r="34" customFormat="false" ht="15" hidden="false" customHeight="false" outlineLevel="0" collapsed="false">
      <c r="F34" s="21" t="s">
        <v>70</v>
      </c>
      <c r="G34" s="22" t="n">
        <f aca="false">SUM(G4:G33)</f>
        <v>357600</v>
      </c>
    </row>
  </sheetData>
  <mergeCells count="9">
    <mergeCell ref="A1:H1"/>
    <mergeCell ref="A4:H4"/>
    <mergeCell ref="A8:H8"/>
    <mergeCell ref="A11:H11"/>
    <mergeCell ref="A14:H14"/>
    <mergeCell ref="A18:H18"/>
    <mergeCell ref="A21:H21"/>
    <mergeCell ref="A26:H26"/>
    <mergeCell ref="A31:H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20"/>
  </cols>
  <sheetData>
    <row r="1" customFormat="false" ht="25.5" hidden="false" customHeight="true" outlineLevel="0" collapsed="false">
      <c r="A1" s="1" t="s">
        <v>148</v>
      </c>
      <c r="B1" s="1"/>
      <c r="C1" s="1"/>
    </row>
    <row r="3" customFormat="false" ht="26.85" hidden="false" customHeight="false" outlineLevel="0" collapsed="false">
      <c r="A3" s="9" t="s">
        <v>149</v>
      </c>
      <c r="B3" s="9" t="s">
        <v>30</v>
      </c>
      <c r="C3" s="9" t="s">
        <v>150</v>
      </c>
    </row>
    <row r="4" customFormat="false" ht="15" hidden="false" customHeight="false" outlineLevel="0" collapsed="false">
      <c r="A4" s="11" t="s">
        <v>151</v>
      </c>
      <c r="B4" s="23" t="n">
        <f aca="false">'Budget MVP (2 mois)'!G16</f>
        <v>1250</v>
      </c>
      <c r="C4" s="14" t="n">
        <f aca="false">B4/Hypothèses!$B$4</f>
        <v>114.678899082569</v>
      </c>
    </row>
    <row r="5" customFormat="false" ht="15" hidden="false" customHeight="false" outlineLevel="0" collapsed="false">
      <c r="A5" s="11" t="s">
        <v>152</v>
      </c>
      <c r="B5" s="23" t="n">
        <f aca="false">'Budget Cible (12 mois)'!G34</f>
        <v>357600</v>
      </c>
      <c r="C5" s="14" t="n">
        <f aca="false">B5/Hypothèses!$B$4</f>
        <v>32807.3394495413</v>
      </c>
    </row>
    <row r="7" customFormat="false" ht="15" hidden="false" customHeight="false" outlineLevel="0" collapsed="false">
      <c r="A7" s="2" t="s">
        <v>153</v>
      </c>
    </row>
    <row r="8" customFormat="false" ht="90" hidden="false" customHeight="true" outlineLevel="0" collapsed="false">
      <c r="A8" s="24" t="s">
        <v>154</v>
      </c>
      <c r="B8" s="24"/>
      <c r="C8" s="24"/>
    </row>
  </sheetData>
  <mergeCells count="2">
    <mergeCell ref="A1:C1"/>
    <mergeCell ref="A8:C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2026-07-05T19:30:33Z</dcterms:created>
  <dc:creator>openpyxl</dc:creator>
  <dc:description/>
  <dc:language>en-US</dc:language>
  <cp:lastModifiedBy/>
  <dcterms:modified xsi:type="dcterms:W3CDTF">2026-07-05T19:30:33Z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